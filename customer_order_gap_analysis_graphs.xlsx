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Gap Analysi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6El+JwCc59tRPWdowmFSJ+NSDybybmaqTpWo5u7Tel4="/>
    </ext>
  </extLst>
</workbook>
</file>

<file path=xl/sharedStrings.xml><?xml version="1.0" encoding="utf-8"?>
<sst xmlns="http://schemas.openxmlformats.org/spreadsheetml/2006/main" count="164" uniqueCount="164">
  <si>
    <t>Customer Name</t>
  </si>
  <si>
    <t>First Purchase Date</t>
  </si>
  <si>
    <t>Last Purchase Date</t>
  </si>
  <si>
    <t>customer_count_orders</t>
  </si>
  <si>
    <t>Days_Between_First_Last</t>
  </si>
  <si>
    <t>Avg_Gap_Between_Orders_Days</t>
  </si>
  <si>
    <t>Name</t>
  </si>
  <si>
    <t>No.of orders</t>
  </si>
  <si>
    <t>Month</t>
  </si>
  <si>
    <t>Total_order</t>
  </si>
  <si>
    <t>one Time Buyers</t>
  </si>
  <si>
    <t>Abhilash</t>
  </si>
  <si>
    <t>Repeated Customers</t>
  </si>
  <si>
    <t>Abhiram</t>
  </si>
  <si>
    <t>Adarsh Kumar</t>
  </si>
  <si>
    <t>Aditya</t>
  </si>
  <si>
    <t>Aeishwarya A.N</t>
  </si>
  <si>
    <t>Amrutha Guddati</t>
  </si>
  <si>
    <t>Ananya</t>
  </si>
  <si>
    <t>Ananya aila</t>
  </si>
  <si>
    <t>Anil</t>
  </si>
  <si>
    <t>Anu</t>
  </si>
  <si>
    <t>Anuradha</t>
  </si>
  <si>
    <t>Aradhana</t>
  </si>
  <si>
    <t>Arif Shaik</t>
  </si>
  <si>
    <t>Arjun</t>
  </si>
  <si>
    <t>Aruna</t>
  </si>
  <si>
    <t>B Shirisha</t>
  </si>
  <si>
    <t>Bhargavi N</t>
  </si>
  <si>
    <t>Bhavana  K</t>
  </si>
  <si>
    <t>Bolla Sowjanya</t>
  </si>
  <si>
    <t>CHANDRA PRAKASH</t>
  </si>
  <si>
    <t>Chandhana</t>
  </si>
  <si>
    <t>Chandradeep Eregineni</t>
  </si>
  <si>
    <t>Daisy Priya Gummadi</t>
  </si>
  <si>
    <t>Divya</t>
  </si>
  <si>
    <t>Divyaangana</t>
  </si>
  <si>
    <t>G K Durga Prasad</t>
  </si>
  <si>
    <t>Hari</t>
  </si>
  <si>
    <t>Harika</t>
  </si>
  <si>
    <t>Harsha</t>
  </si>
  <si>
    <t>Hely</t>
  </si>
  <si>
    <t>Hema k</t>
  </si>
  <si>
    <t>Janakisarma</t>
  </si>
  <si>
    <t>Jyothi</t>
  </si>
  <si>
    <t>Jyothika</t>
  </si>
  <si>
    <t>Kalyani</t>
  </si>
  <si>
    <t>Karthik</t>
  </si>
  <si>
    <t>Kasi</t>
  </si>
  <si>
    <t>Kavitha</t>
  </si>
  <si>
    <t>Keerthana</t>
  </si>
  <si>
    <t>Keerthi</t>
  </si>
  <si>
    <t>Kolasani Manasa</t>
  </si>
  <si>
    <t>Krishna</t>
  </si>
  <si>
    <t>Lavanya</t>
  </si>
  <si>
    <t>MOHAN VARMA</t>
  </si>
  <si>
    <t>Madhurima</t>
  </si>
  <si>
    <t>Mahendher reddy</t>
  </si>
  <si>
    <t>Meenakshi Bai Teneti</t>
  </si>
  <si>
    <t>Mounika Manchala</t>
  </si>
  <si>
    <t>Naren</t>
  </si>
  <si>
    <t>Naveena</t>
  </si>
  <si>
    <t>Nikeelu Gunda</t>
  </si>
  <si>
    <t>Niranjani</t>
  </si>
  <si>
    <t>P.Srivani</t>
  </si>
  <si>
    <t>Paddu</t>
  </si>
  <si>
    <t>Pavan k</t>
  </si>
  <si>
    <t>Poojitha</t>
  </si>
  <si>
    <t>Poornima</t>
  </si>
  <si>
    <t>Pradeep</t>
  </si>
  <si>
    <t>Prakhya</t>
  </si>
  <si>
    <t>Prasanna</t>
  </si>
  <si>
    <t>Prasanth Y</t>
  </si>
  <si>
    <t>Praveen Reddy</t>
  </si>
  <si>
    <t>Prerika Gupta</t>
  </si>
  <si>
    <t>Prithvi Jagannadh</t>
  </si>
  <si>
    <t>Priya</t>
  </si>
  <si>
    <t>Priyamukka</t>
  </si>
  <si>
    <t>Raghav</t>
  </si>
  <si>
    <t>RajiReddy</t>
  </si>
  <si>
    <t>Rakesh</t>
  </si>
  <si>
    <t>Ramya reddy</t>
  </si>
  <si>
    <t>Rishikesh</t>
  </si>
  <si>
    <t>Rishitha</t>
  </si>
  <si>
    <t>Rohith</t>
  </si>
  <si>
    <t>Sahith Yeleshwaram</t>
  </si>
  <si>
    <t>Sai</t>
  </si>
  <si>
    <t>Sai Kiran</t>
  </si>
  <si>
    <t>Sai teja Macha</t>
  </si>
  <si>
    <t>Sameera</t>
  </si>
  <si>
    <t>Sameera Chandrapati</t>
  </si>
  <si>
    <t>Samyuktha</t>
  </si>
  <si>
    <t>Sanjay Chowdary</t>
  </si>
  <si>
    <t>Santhosh</t>
  </si>
  <si>
    <t>Sarab</t>
  </si>
  <si>
    <t>Satya</t>
  </si>
  <si>
    <t>Siddartha Gourishetty</t>
  </si>
  <si>
    <t>Soumya Rudraraju</t>
  </si>
  <si>
    <t>Sravya</t>
  </si>
  <si>
    <t>Sravya Veni</t>
  </si>
  <si>
    <t>Srinivas</t>
  </si>
  <si>
    <t>Srinivasa Rao Bondada</t>
  </si>
  <si>
    <t>Srinu Rathod</t>
  </si>
  <si>
    <t>Subhadra</t>
  </si>
  <si>
    <t>Surendra reddy</t>
  </si>
  <si>
    <t>Sushma</t>
  </si>
  <si>
    <t>Swathi rao</t>
  </si>
  <si>
    <t>T.lakshmi kumari</t>
  </si>
  <si>
    <t>Tarun Reddy</t>
  </si>
  <si>
    <t>Teja</t>
  </si>
  <si>
    <t>Tejaswini</t>
  </si>
  <si>
    <t>Tejaswini l</t>
  </si>
  <si>
    <t>Triveni</t>
  </si>
  <si>
    <t>Tulasi</t>
  </si>
  <si>
    <t>Ujwala</t>
  </si>
  <si>
    <t>V</t>
  </si>
  <si>
    <t>Vaishnavi</t>
  </si>
  <si>
    <t>Vasundhara</t>
  </si>
  <si>
    <t>Venky</t>
  </si>
  <si>
    <t>Vennela</t>
  </si>
  <si>
    <t>Vijayalakshmi J</t>
  </si>
  <si>
    <t>Vinith Kumar</t>
  </si>
  <si>
    <t>Vinod</t>
  </si>
  <si>
    <t>Yamini Balamuri</t>
  </si>
  <si>
    <t>Yugandhar</t>
  </si>
  <si>
    <t>akhila</t>
  </si>
  <si>
    <t>anudeep</t>
  </si>
  <si>
    <t>bharath</t>
  </si>
  <si>
    <t>bhavani</t>
  </si>
  <si>
    <t>chandana</t>
  </si>
  <si>
    <t>chandra</t>
  </si>
  <si>
    <t>charishma</t>
  </si>
  <si>
    <t>charitha</t>
  </si>
  <si>
    <t>divya</t>
  </si>
  <si>
    <t>dusumukku Babu</t>
  </si>
  <si>
    <t>k himabindu</t>
  </si>
  <si>
    <t>kalyan</t>
  </si>
  <si>
    <t>kalyanireddy</t>
  </si>
  <si>
    <t>kamesh</t>
  </si>
  <si>
    <t>krishna sai</t>
  </si>
  <si>
    <t>manikanta rama krishna</t>
  </si>
  <si>
    <t>mohan krishna</t>
  </si>
  <si>
    <t>mounika</t>
  </si>
  <si>
    <t>nadiya</t>
  </si>
  <si>
    <t>naga</t>
  </si>
  <si>
    <t>nageshwari</t>
  </si>
  <si>
    <t>nandini</t>
  </si>
  <si>
    <t>omer shaik</t>
  </si>
  <si>
    <t>praneeth</t>
  </si>
  <si>
    <t>pushyami</t>
  </si>
  <si>
    <t>sandeep</t>
  </si>
  <si>
    <t>shiva</t>
  </si>
  <si>
    <t>sindhu</t>
  </si>
  <si>
    <t>sivani</t>
  </si>
  <si>
    <t>sravanthi saladi</t>
  </si>
  <si>
    <t>sravya</t>
  </si>
  <si>
    <t>srikanth</t>
  </si>
  <si>
    <t>sujitha</t>
  </si>
  <si>
    <t>suraj suddala</t>
  </si>
  <si>
    <t>swa</t>
  </si>
  <si>
    <t>tanuja chitturi</t>
  </si>
  <si>
    <t>v a</t>
  </si>
  <si>
    <t>vasudha</t>
  </si>
  <si>
    <t>vidya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</si>
</sst>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mmm yyyy"/>
    <numFmt numFmtId="166" formatCode="mmmm 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20 Customer order By count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'Order Gap Analysis'!$I$1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'Order Gap Analysis'!$H$2:$H$21</c:f>
            </c:strRef>
          </c:cat>
          <c:val>
            <c:numRef>
              <c:f>'Order Gap Analysis'!$I$2:$I$21</c:f>
              <c:numCache/>
            </c:numRef>
          </c:val>
        </c:ser>
        <c:axId val="2104882131"/>
        <c:axId val="738513096"/>
      </c:barChart>
      <c:catAx>
        <c:axId val="210488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738513096"/>
      </c:catAx>
      <c:valAx>
        <c:axId val="738513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104882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 in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'Order Gap Analysis'!$L$2:$L$6</c:f>
            </c:strRef>
          </c:cat>
          <c:val>
            <c:numRef>
              <c:f>'Order Gap Analysis'!$M$2:$M$6</c:f>
              <c:numCache/>
            </c:numRef>
          </c:val>
          <c:smooth val="0"/>
        </c:ser>
        <c:axId val="466951847"/>
        <c:axId val="1043014750"/>
      </c:lineChart>
      <c:catAx>
        <c:axId val="466951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014750"/>
      </c:catAx>
      <c:valAx>
        <c:axId val="1043014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951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One VS Repeated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'Order Gap Analysis'!$O$1:$O$2</c:f>
            </c:strRef>
          </c:cat>
          <c:val>
            <c:numRef>
              <c:f>'Order Gap Analysis'!$P$1:$P$2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3838575</xdr:colOff>
      <xdr:row>22</xdr:row>
      <xdr:rowOff>142875</xdr:rowOff>
    </xdr:from>
    <xdr:ext cx="6953250" cy="3533775"/>
    <xdr:graphicFrame>
      <xdr:nvGraphicFramePr>
        <xdr:cNvPr id="129267432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714375</xdr:colOff>
      <xdr:row>8</xdr:row>
      <xdr:rowOff>57150</xdr:rowOff>
    </xdr:from>
    <xdr:ext cx="5534025" cy="3533775"/>
    <xdr:graphicFrame>
      <xdr:nvGraphicFramePr>
        <xdr:cNvPr id="17163304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1419225</xdr:colOff>
      <xdr:row>29</xdr:row>
      <xdr:rowOff>171450</xdr:rowOff>
    </xdr:from>
    <xdr:ext cx="5715000" cy="3533775"/>
    <xdr:pic>
      <xdr:nvPicPr>
        <xdr:cNvPr id="24456806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857250</xdr:colOff>
      <xdr:row>4</xdr:row>
      <xdr:rowOff>57150</xdr:rowOff>
    </xdr:from>
    <xdr:ext cx="5715000" cy="3533775"/>
    <xdr:graphicFrame>
      <xdr:nvGraphicFramePr>
        <xdr:cNvPr id="18763738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86"/>
    <col customWidth="1" min="2" max="2" width="56.0"/>
    <col customWidth="1" min="3" max="3" width="42.0"/>
    <col customWidth="1" min="4" max="4" width="47.43"/>
    <col customWidth="1" min="5" max="5" width="54.71"/>
    <col customWidth="1" min="6" max="6" width="50.57"/>
    <col customWidth="1" min="7" max="7" width="57.57"/>
    <col customWidth="1" min="8" max="8" width="71.57"/>
    <col customWidth="1" min="9" max="9" width="32.57"/>
    <col customWidth="1" min="10" max="10" width="8.71"/>
    <col customWidth="1" min="11" max="11" width="40.14"/>
    <col customWidth="1" min="12" max="12" width="21.57"/>
    <col customWidth="1" min="13" max="13" width="31.43"/>
    <col customWidth="1" min="14" max="14" width="25.0"/>
    <col customWidth="1" min="15" max="15" width="43.14"/>
    <col customWidth="1" min="16" max="16" width="26.57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H1" s="3" t="s">
        <v>6</v>
      </c>
      <c r="I1" s="3" t="s">
        <v>7</v>
      </c>
      <c r="L1" s="3" t="s">
        <v>8</v>
      </c>
      <c r="M1" s="3" t="s">
        <v>9</v>
      </c>
      <c r="O1" s="3" t="s">
        <v>10</v>
      </c>
      <c r="P1" s="4">
        <f>COUNTIF(D2:D153, 1)</f>
        <v>112</v>
      </c>
    </row>
    <row r="2">
      <c r="A2" s="5" t="s">
        <v>11</v>
      </c>
      <c r="B2" s="6">
        <v>46181.0</v>
      </c>
      <c r="C2" s="6">
        <v>46181.0</v>
      </c>
      <c r="D2" s="5">
        <v>1.0</v>
      </c>
      <c r="E2" s="5">
        <v>0.0</v>
      </c>
      <c r="H2" s="5" t="str">
        <f>IFERROR(__xludf.DUMMYFUNCTION("SORTN({A2:A153, D2:D153}, 20, 0, D2:D153, FALSE)"),"Anuradha")</f>
        <v>Anuradha</v>
      </c>
      <c r="I2" s="5">
        <f>IFERROR(__xludf.DUMMYFUNCTION("""COMPUTED_VALUE"""),18.0)</f>
        <v>18</v>
      </c>
      <c r="L2" s="7">
        <v>46054.0</v>
      </c>
      <c r="M2" s="5">
        <f>COUNTIFS(B$2:B$153, "&gt;=2026-02-01", B$2:B$153, "&lt;=2026-02-28")</f>
        <v>5</v>
      </c>
      <c r="O2" s="3" t="s">
        <v>12</v>
      </c>
      <c r="P2" s="4">
        <f>COUNTIF(D2:D153, "&gt;1")</f>
        <v>40</v>
      </c>
    </row>
    <row r="3">
      <c r="A3" s="5" t="s">
        <v>13</v>
      </c>
      <c r="B3" s="6">
        <v>46090.0</v>
      </c>
      <c r="C3" s="6">
        <v>46090.0</v>
      </c>
      <c r="D3" s="5">
        <v>1.0</v>
      </c>
      <c r="E3" s="5">
        <v>0.0</v>
      </c>
      <c r="H3" s="5" t="str">
        <f>IFERROR(__xludf.DUMMYFUNCTION("""COMPUTED_VALUE"""),"Prerika Gupta")</f>
        <v>Prerika Gupta</v>
      </c>
      <c r="I3" s="5">
        <f>IFERROR(__xludf.DUMMYFUNCTION("""COMPUTED_VALUE"""),12.0)</f>
        <v>12</v>
      </c>
      <c r="L3" s="7">
        <v>46082.0</v>
      </c>
      <c r="M3" s="5">
        <f>COUNTIFS(B$2:B$153, "&gt;=2026-03-01", B$2:B$153, "&lt;=2026-03-31")</f>
        <v>38</v>
      </c>
    </row>
    <row r="4">
      <c r="A4" s="5" t="s">
        <v>14</v>
      </c>
      <c r="B4" s="6">
        <v>46157.0</v>
      </c>
      <c r="C4" s="6">
        <v>46180.0</v>
      </c>
      <c r="D4" s="5">
        <v>3.0</v>
      </c>
      <c r="E4" s="5">
        <v>23.0</v>
      </c>
      <c r="F4" s="5">
        <v>11.5</v>
      </c>
      <c r="H4" s="5" t="str">
        <f>IFERROR(__xludf.DUMMYFUNCTION("""COMPUTED_VALUE"""),"divya")</f>
        <v>divya</v>
      </c>
      <c r="I4" s="5">
        <f>IFERROR(__xludf.DUMMYFUNCTION("""COMPUTED_VALUE"""),7.0)</f>
        <v>7</v>
      </c>
      <c r="L4" s="7">
        <v>46113.0</v>
      </c>
      <c r="M4" s="5">
        <f>COUNTIFS(B$2:B$153, "&gt;=2026-04-01", B$2:B$153, "&lt;=2026-04-30")</f>
        <v>29</v>
      </c>
    </row>
    <row r="5">
      <c r="A5" s="5" t="s">
        <v>15</v>
      </c>
      <c r="B5" s="6">
        <v>46135.0</v>
      </c>
      <c r="C5" s="6">
        <v>46165.0</v>
      </c>
      <c r="D5" s="5">
        <v>2.0</v>
      </c>
      <c r="E5" s="5">
        <v>30.0</v>
      </c>
      <c r="F5" s="5">
        <v>30.0</v>
      </c>
      <c r="H5" s="5" t="str">
        <f>IFERROR(__xludf.DUMMYFUNCTION("""COMPUTED_VALUE"""),"shiva")</f>
        <v>shiva</v>
      </c>
      <c r="I5" s="5">
        <f>IFERROR(__xludf.DUMMYFUNCTION("""COMPUTED_VALUE"""),6.0)</f>
        <v>6</v>
      </c>
      <c r="L5" s="8">
        <v>46143.0</v>
      </c>
      <c r="M5" s="5">
        <f>COUNTIFS(B$2:B$153, "&gt;=2026-05-01", B$2:B$153, "&lt;=2026-05-31")</f>
        <v>56</v>
      </c>
    </row>
    <row r="6">
      <c r="A6" s="5" t="s">
        <v>16</v>
      </c>
      <c r="B6" s="6">
        <v>46144.0</v>
      </c>
      <c r="C6" s="6">
        <v>46165.0</v>
      </c>
      <c r="D6" s="5">
        <v>2.0</v>
      </c>
      <c r="E6" s="5">
        <v>21.0</v>
      </c>
      <c r="F6" s="5">
        <v>21.0</v>
      </c>
      <c r="H6" s="5" t="str">
        <f>IFERROR(__xludf.DUMMYFUNCTION("""COMPUTED_VALUE"""),"omer shaik")</f>
        <v>omer shaik</v>
      </c>
      <c r="I6" s="5">
        <f>IFERROR(__xludf.DUMMYFUNCTION("""COMPUTED_VALUE"""),5.0)</f>
        <v>5</v>
      </c>
      <c r="L6" s="7">
        <v>46174.0</v>
      </c>
      <c r="M6" s="5">
        <f>COUNTIFS(B$2:B$153, "&gt;=2026-06-01", B$2:B$153, "&lt;=2026-06-30")</f>
        <v>24</v>
      </c>
    </row>
    <row r="7">
      <c r="A7" s="5" t="s">
        <v>17</v>
      </c>
      <c r="B7" s="6">
        <v>46155.0</v>
      </c>
      <c r="C7" s="6">
        <v>46155.0</v>
      </c>
      <c r="D7" s="5">
        <v>1.0</v>
      </c>
      <c r="E7" s="5">
        <v>0.0</v>
      </c>
      <c r="H7" s="5" t="str">
        <f>IFERROR(__xludf.DUMMYFUNCTION("""COMPUTED_VALUE"""),"sravya")</f>
        <v>sravya</v>
      </c>
      <c r="I7" s="5">
        <f>IFERROR(__xludf.DUMMYFUNCTION("""COMPUTED_VALUE"""),5.0)</f>
        <v>5</v>
      </c>
    </row>
    <row r="8">
      <c r="A8" s="5" t="s">
        <v>18</v>
      </c>
      <c r="B8" s="6">
        <v>46175.0</v>
      </c>
      <c r="C8" s="6">
        <v>46175.0</v>
      </c>
      <c r="D8" s="5">
        <v>1.0</v>
      </c>
      <c r="E8" s="5">
        <v>0.0</v>
      </c>
      <c r="H8" s="5" t="str">
        <f>IFERROR(__xludf.DUMMYFUNCTION("""COMPUTED_VALUE"""),"Harsha")</f>
        <v>Harsha</v>
      </c>
      <c r="I8" s="5">
        <f>IFERROR(__xludf.DUMMYFUNCTION("""COMPUTED_VALUE"""),4.0)</f>
        <v>4</v>
      </c>
    </row>
    <row r="9">
      <c r="A9" s="5" t="s">
        <v>19</v>
      </c>
      <c r="B9" s="6">
        <v>46145.0</v>
      </c>
      <c r="C9" s="6">
        <v>46170.0</v>
      </c>
      <c r="D9" s="5">
        <v>3.0</v>
      </c>
      <c r="E9" s="5">
        <v>25.0</v>
      </c>
      <c r="F9" s="5">
        <v>12.5</v>
      </c>
      <c r="H9" s="5" t="str">
        <f>IFERROR(__xludf.DUMMYFUNCTION("""COMPUTED_VALUE"""),"Keerthi")</f>
        <v>Keerthi</v>
      </c>
      <c r="I9" s="5">
        <f>IFERROR(__xludf.DUMMYFUNCTION("""COMPUTED_VALUE"""),4.0)</f>
        <v>4</v>
      </c>
    </row>
    <row r="10">
      <c r="A10" s="5" t="s">
        <v>20</v>
      </c>
      <c r="B10" s="6">
        <v>46088.0</v>
      </c>
      <c r="C10" s="6">
        <v>46088.0</v>
      </c>
      <c r="D10" s="5">
        <v>1.0</v>
      </c>
      <c r="E10" s="5">
        <v>0.0</v>
      </c>
      <c r="H10" s="5" t="str">
        <f>IFERROR(__xludf.DUMMYFUNCTION("""COMPUTED_VALUE"""),"Tejaswini l")</f>
        <v>Tejaswini l</v>
      </c>
      <c r="I10" s="5">
        <f>IFERROR(__xludf.DUMMYFUNCTION("""COMPUTED_VALUE"""),4.0)</f>
        <v>4</v>
      </c>
    </row>
    <row r="11">
      <c r="A11" s="5" t="s">
        <v>21</v>
      </c>
      <c r="B11" s="6">
        <v>46085.0</v>
      </c>
      <c r="C11" s="6">
        <v>46085.0</v>
      </c>
      <c r="D11" s="5">
        <v>1.0</v>
      </c>
      <c r="E11" s="5">
        <v>0.0</v>
      </c>
      <c r="H11" s="5" t="str">
        <f>IFERROR(__xludf.DUMMYFUNCTION("""COMPUTED_VALUE"""),"Yamini Balamuri")</f>
        <v>Yamini Balamuri</v>
      </c>
      <c r="I11" s="5">
        <f>IFERROR(__xludf.DUMMYFUNCTION("""COMPUTED_VALUE"""),4.0)</f>
        <v>4</v>
      </c>
    </row>
    <row r="12">
      <c r="A12" s="5" t="s">
        <v>22</v>
      </c>
      <c r="B12" s="6">
        <v>46084.0</v>
      </c>
      <c r="C12" s="6">
        <v>46185.0</v>
      </c>
      <c r="D12" s="5">
        <v>18.0</v>
      </c>
      <c r="E12" s="5">
        <v>101.0</v>
      </c>
      <c r="F12" s="5">
        <v>5.94</v>
      </c>
      <c r="H12" s="5" t="str">
        <f>IFERROR(__xludf.DUMMYFUNCTION("""COMPUTED_VALUE"""),"vidya")</f>
        <v>vidya</v>
      </c>
      <c r="I12" s="5">
        <f>IFERROR(__xludf.DUMMYFUNCTION("""COMPUTED_VALUE"""),4.0)</f>
        <v>4</v>
      </c>
    </row>
    <row r="13">
      <c r="A13" s="5" t="s">
        <v>23</v>
      </c>
      <c r="B13" s="6">
        <v>46151.0</v>
      </c>
      <c r="C13" s="6">
        <v>46153.0</v>
      </c>
      <c r="D13" s="5">
        <v>2.0</v>
      </c>
      <c r="E13" s="5">
        <v>2.0</v>
      </c>
      <c r="F13" s="5">
        <v>2.0</v>
      </c>
      <c r="H13" s="5" t="str">
        <f>IFERROR(__xludf.DUMMYFUNCTION("""COMPUTED_VALUE"""),"Adarsh Kumar")</f>
        <v>Adarsh Kumar</v>
      </c>
      <c r="I13" s="5">
        <f>IFERROR(__xludf.DUMMYFUNCTION("""COMPUTED_VALUE"""),3.0)</f>
        <v>3</v>
      </c>
    </row>
    <row r="14">
      <c r="A14" s="5" t="s">
        <v>24</v>
      </c>
      <c r="B14" s="6">
        <v>46160.0</v>
      </c>
      <c r="C14" s="6">
        <v>46160.0</v>
      </c>
      <c r="D14" s="5">
        <v>1.0</v>
      </c>
      <c r="E14" s="5">
        <v>0.0</v>
      </c>
      <c r="H14" s="5" t="str">
        <f>IFERROR(__xludf.DUMMYFUNCTION("""COMPUTED_VALUE"""),"Ananya aila")</f>
        <v>Ananya aila</v>
      </c>
      <c r="I14" s="5">
        <f>IFERROR(__xludf.DUMMYFUNCTION("""COMPUTED_VALUE"""),3.0)</f>
        <v>3</v>
      </c>
    </row>
    <row r="15">
      <c r="A15" s="5" t="s">
        <v>25</v>
      </c>
      <c r="B15" s="6">
        <v>46155.0</v>
      </c>
      <c r="C15" s="6">
        <v>46155.0</v>
      </c>
      <c r="D15" s="5">
        <v>1.0</v>
      </c>
      <c r="E15" s="5">
        <v>0.0</v>
      </c>
      <c r="H15" s="5" t="str">
        <f>IFERROR(__xludf.DUMMYFUNCTION("""COMPUTED_VALUE"""),"Divya")</f>
        <v>Divya</v>
      </c>
      <c r="I15" s="5">
        <f>IFERROR(__xludf.DUMMYFUNCTION("""COMPUTED_VALUE"""),3.0)</f>
        <v>3</v>
      </c>
    </row>
    <row r="16">
      <c r="A16" s="5" t="s">
        <v>26</v>
      </c>
      <c r="B16" s="6">
        <v>46167.0</v>
      </c>
      <c r="C16" s="6">
        <v>46167.0</v>
      </c>
      <c r="D16" s="5">
        <v>1.0</v>
      </c>
      <c r="E16" s="5">
        <v>0.0</v>
      </c>
      <c r="H16" s="5" t="str">
        <f>IFERROR(__xludf.DUMMYFUNCTION("""COMPUTED_VALUE"""),"Pavan k")</f>
        <v>Pavan k</v>
      </c>
      <c r="I16" s="5">
        <f>IFERROR(__xludf.DUMMYFUNCTION("""COMPUTED_VALUE"""),3.0)</f>
        <v>3</v>
      </c>
    </row>
    <row r="17">
      <c r="A17" s="5" t="s">
        <v>27</v>
      </c>
      <c r="B17" s="6">
        <v>46140.0</v>
      </c>
      <c r="C17" s="6">
        <v>46140.0</v>
      </c>
      <c r="D17" s="5">
        <v>1.0</v>
      </c>
      <c r="E17" s="5">
        <v>0.0</v>
      </c>
      <c r="H17" s="5" t="str">
        <f>IFERROR(__xludf.DUMMYFUNCTION("""COMPUTED_VALUE"""),"Priya")</f>
        <v>Priya</v>
      </c>
      <c r="I17" s="5">
        <f>IFERROR(__xludf.DUMMYFUNCTION("""COMPUTED_VALUE"""),3.0)</f>
        <v>3</v>
      </c>
    </row>
    <row r="18">
      <c r="A18" s="5" t="s">
        <v>28</v>
      </c>
      <c r="B18" s="6">
        <v>46151.0</v>
      </c>
      <c r="C18" s="6">
        <v>46175.0</v>
      </c>
      <c r="D18" s="5">
        <v>2.0</v>
      </c>
      <c r="E18" s="5">
        <v>24.0</v>
      </c>
      <c r="F18" s="5">
        <v>24.0</v>
      </c>
      <c r="H18" s="5" t="str">
        <f>IFERROR(__xludf.DUMMYFUNCTION("""COMPUTED_VALUE"""),"Sai")</f>
        <v>Sai</v>
      </c>
      <c r="I18" s="5">
        <f>IFERROR(__xludf.DUMMYFUNCTION("""COMPUTED_VALUE"""),3.0)</f>
        <v>3</v>
      </c>
    </row>
    <row r="19">
      <c r="A19" s="5" t="s">
        <v>29</v>
      </c>
      <c r="B19" s="6">
        <v>46090.0</v>
      </c>
      <c r="C19" s="6">
        <v>46183.0</v>
      </c>
      <c r="D19" s="5">
        <v>2.0</v>
      </c>
      <c r="E19" s="5">
        <v>93.0</v>
      </c>
      <c r="F19" s="5">
        <v>93.0</v>
      </c>
      <c r="H19" s="5" t="str">
        <f>IFERROR(__xludf.DUMMYFUNCTION("""COMPUTED_VALUE"""),"Sravya")</f>
        <v>Sravya</v>
      </c>
      <c r="I19" s="5">
        <f>IFERROR(__xludf.DUMMYFUNCTION("""COMPUTED_VALUE"""),3.0)</f>
        <v>3</v>
      </c>
    </row>
    <row r="20">
      <c r="A20" s="5" t="s">
        <v>30</v>
      </c>
      <c r="B20" s="6">
        <v>46086.0</v>
      </c>
      <c r="C20" s="6">
        <v>46182.0</v>
      </c>
      <c r="D20" s="5">
        <v>2.0</v>
      </c>
      <c r="E20" s="5">
        <v>96.0</v>
      </c>
      <c r="F20" s="5">
        <v>96.0</v>
      </c>
      <c r="H20" s="5" t="str">
        <f>IFERROR(__xludf.DUMMYFUNCTION("""COMPUTED_VALUE"""),"Sravya Veni")</f>
        <v>Sravya Veni</v>
      </c>
      <c r="I20" s="5">
        <f>IFERROR(__xludf.DUMMYFUNCTION("""COMPUTED_VALUE"""),3.0)</f>
        <v>3</v>
      </c>
    </row>
    <row r="21" ht="15.75" customHeight="1">
      <c r="A21" s="5" t="s">
        <v>31</v>
      </c>
      <c r="B21" s="6">
        <v>46082.0</v>
      </c>
      <c r="C21" s="6">
        <v>46082.0</v>
      </c>
      <c r="D21" s="5">
        <v>1.0</v>
      </c>
      <c r="E21" s="5">
        <v>0.0</v>
      </c>
      <c r="H21" s="5" t="str">
        <f>IFERROR(__xludf.DUMMYFUNCTION("""COMPUTED_VALUE"""),"Aditya")</f>
        <v>Aditya</v>
      </c>
      <c r="I21" s="5">
        <f>IFERROR(__xludf.DUMMYFUNCTION("""COMPUTED_VALUE"""),2.0)</f>
        <v>2</v>
      </c>
    </row>
    <row r="22" ht="15.75" customHeight="1">
      <c r="A22" s="5" t="s">
        <v>32</v>
      </c>
      <c r="B22" s="6">
        <v>46168.0</v>
      </c>
      <c r="C22" s="6">
        <v>46168.0</v>
      </c>
      <c r="D22" s="5">
        <v>1.0</v>
      </c>
      <c r="E22" s="5">
        <v>0.0</v>
      </c>
    </row>
    <row r="23" ht="15.75" customHeight="1">
      <c r="A23" s="5" t="s">
        <v>33</v>
      </c>
      <c r="B23" s="6">
        <v>46102.0</v>
      </c>
      <c r="C23" s="6">
        <v>46102.0</v>
      </c>
      <c r="D23" s="5">
        <v>1.0</v>
      </c>
      <c r="E23" s="5">
        <v>0.0</v>
      </c>
    </row>
    <row r="24" ht="15.75" customHeight="1">
      <c r="A24" s="5" t="s">
        <v>34</v>
      </c>
      <c r="B24" s="6">
        <v>46170.0</v>
      </c>
      <c r="C24" s="6">
        <v>46170.0</v>
      </c>
      <c r="D24" s="5">
        <v>1.0</v>
      </c>
      <c r="E24" s="5">
        <v>0.0</v>
      </c>
    </row>
    <row r="25" ht="15.75" customHeight="1">
      <c r="A25" s="5" t="s">
        <v>35</v>
      </c>
      <c r="B25" s="6">
        <v>46158.0</v>
      </c>
      <c r="C25" s="6">
        <v>46170.0</v>
      </c>
      <c r="D25" s="5">
        <v>3.0</v>
      </c>
      <c r="E25" s="5">
        <v>12.0</v>
      </c>
      <c r="F25" s="5">
        <v>6.0</v>
      </c>
    </row>
    <row r="26" ht="15.75" customHeight="1">
      <c r="A26" s="5" t="s">
        <v>36</v>
      </c>
      <c r="B26" s="6">
        <v>46181.0</v>
      </c>
      <c r="C26" s="6">
        <v>46181.0</v>
      </c>
      <c r="D26" s="5">
        <v>1.0</v>
      </c>
      <c r="E26" s="5">
        <v>0.0</v>
      </c>
    </row>
    <row r="27" ht="15.75" customHeight="1">
      <c r="A27" s="5" t="s">
        <v>37</v>
      </c>
      <c r="B27" s="6">
        <v>46158.0</v>
      </c>
      <c r="C27" s="6">
        <v>46158.0</v>
      </c>
      <c r="D27" s="5">
        <v>1.0</v>
      </c>
      <c r="E27" s="5">
        <v>0.0</v>
      </c>
    </row>
    <row r="28" ht="15.75" customHeight="1">
      <c r="A28" s="5" t="s">
        <v>38</v>
      </c>
      <c r="B28" s="6">
        <v>46118.0</v>
      </c>
      <c r="C28" s="6">
        <v>46183.0</v>
      </c>
      <c r="D28" s="5">
        <v>2.0</v>
      </c>
      <c r="E28" s="5">
        <v>65.0</v>
      </c>
      <c r="F28" s="5">
        <v>65.0</v>
      </c>
    </row>
    <row r="29" ht="15.75" customHeight="1">
      <c r="A29" s="5" t="s">
        <v>39</v>
      </c>
      <c r="B29" s="6">
        <v>46148.0</v>
      </c>
      <c r="C29" s="6">
        <v>46148.0</v>
      </c>
      <c r="D29" s="5">
        <v>1.0</v>
      </c>
      <c r="E29" s="5">
        <v>0.0</v>
      </c>
    </row>
    <row r="30" ht="15.75" customHeight="1">
      <c r="A30" s="5" t="s">
        <v>40</v>
      </c>
      <c r="B30" s="6">
        <v>46081.0</v>
      </c>
      <c r="C30" s="6">
        <v>46147.0</v>
      </c>
      <c r="D30" s="5">
        <v>4.0</v>
      </c>
      <c r="E30" s="5">
        <v>66.0</v>
      </c>
      <c r="F30" s="5">
        <v>22.0</v>
      </c>
    </row>
    <row r="31" ht="15.75" customHeight="1">
      <c r="A31" s="5" t="s">
        <v>41</v>
      </c>
      <c r="B31" s="6">
        <v>46098.0</v>
      </c>
      <c r="C31" s="6">
        <v>46098.0</v>
      </c>
      <c r="D31" s="5">
        <v>1.0</v>
      </c>
      <c r="E31" s="5">
        <v>0.0</v>
      </c>
    </row>
    <row r="32" ht="15.75" customHeight="1">
      <c r="A32" s="5" t="s">
        <v>42</v>
      </c>
      <c r="B32" s="6">
        <v>46125.0</v>
      </c>
      <c r="C32" s="6">
        <v>46125.0</v>
      </c>
      <c r="D32" s="5">
        <v>1.0</v>
      </c>
      <c r="E32" s="5">
        <v>0.0</v>
      </c>
    </row>
    <row r="33" ht="15.75" customHeight="1">
      <c r="A33" s="5" t="s">
        <v>43</v>
      </c>
      <c r="B33" s="6">
        <v>46173.0</v>
      </c>
      <c r="C33" s="6">
        <v>46173.0</v>
      </c>
      <c r="D33" s="5">
        <v>1.0</v>
      </c>
      <c r="E33" s="5">
        <v>0.0</v>
      </c>
    </row>
    <row r="34" ht="15.75" customHeight="1">
      <c r="A34" s="5" t="s">
        <v>44</v>
      </c>
      <c r="B34" s="6">
        <v>46087.0</v>
      </c>
      <c r="C34" s="6">
        <v>46087.0</v>
      </c>
      <c r="D34" s="5">
        <v>1.0</v>
      </c>
      <c r="E34" s="5">
        <v>0.0</v>
      </c>
    </row>
    <row r="35" ht="15.75" customHeight="1">
      <c r="A35" s="5" t="s">
        <v>45</v>
      </c>
      <c r="B35" s="6">
        <v>46145.0</v>
      </c>
      <c r="C35" s="6">
        <v>46145.0</v>
      </c>
      <c r="D35" s="5">
        <v>1.0</v>
      </c>
      <c r="E35" s="5">
        <v>0.0</v>
      </c>
    </row>
    <row r="36" ht="15.75" customHeight="1">
      <c r="A36" s="5" t="s">
        <v>46</v>
      </c>
      <c r="B36" s="6">
        <v>46141.0</v>
      </c>
      <c r="C36" s="6">
        <v>46141.0</v>
      </c>
      <c r="D36" s="5">
        <v>1.0</v>
      </c>
      <c r="E36" s="5">
        <v>0.0</v>
      </c>
    </row>
    <row r="37" ht="15.75" customHeight="1">
      <c r="A37" s="5" t="s">
        <v>47</v>
      </c>
      <c r="B37" s="6">
        <v>46085.0</v>
      </c>
      <c r="C37" s="6">
        <v>46085.0</v>
      </c>
      <c r="D37" s="5">
        <v>1.0</v>
      </c>
      <c r="E37" s="5">
        <v>0.0</v>
      </c>
    </row>
    <row r="38" ht="15.75" customHeight="1">
      <c r="A38" s="5" t="s">
        <v>48</v>
      </c>
      <c r="B38" s="6">
        <v>46073.0</v>
      </c>
      <c r="C38" s="6">
        <v>46132.0</v>
      </c>
      <c r="D38" s="5">
        <v>2.0</v>
      </c>
      <c r="E38" s="5">
        <v>59.0</v>
      </c>
      <c r="F38" s="5">
        <v>59.0</v>
      </c>
    </row>
    <row r="39" ht="15.75" customHeight="1">
      <c r="A39" s="5" t="s">
        <v>49</v>
      </c>
      <c r="B39" s="6">
        <v>46074.0</v>
      </c>
      <c r="C39" s="6">
        <v>46132.0</v>
      </c>
      <c r="D39" s="5">
        <v>2.0</v>
      </c>
      <c r="E39" s="5">
        <v>58.0</v>
      </c>
      <c r="F39" s="5">
        <v>58.0</v>
      </c>
    </row>
    <row r="40" ht="15.75" customHeight="1">
      <c r="A40" s="5" t="s">
        <v>50</v>
      </c>
      <c r="B40" s="6">
        <v>46171.0</v>
      </c>
      <c r="C40" s="6">
        <v>46171.0</v>
      </c>
      <c r="D40" s="5">
        <v>1.0</v>
      </c>
      <c r="E40" s="5">
        <v>0.0</v>
      </c>
    </row>
    <row r="41" ht="15.75" customHeight="1">
      <c r="A41" s="5" t="s">
        <v>51</v>
      </c>
      <c r="B41" s="6">
        <v>46122.0</v>
      </c>
      <c r="C41" s="6">
        <v>46157.0</v>
      </c>
      <c r="D41" s="5">
        <v>4.0</v>
      </c>
      <c r="E41" s="5">
        <v>35.0</v>
      </c>
      <c r="F41" s="5">
        <v>11.67</v>
      </c>
    </row>
    <row r="42" ht="15.75" customHeight="1">
      <c r="A42" s="5" t="s">
        <v>52</v>
      </c>
      <c r="B42" s="6">
        <v>46183.0</v>
      </c>
      <c r="C42" s="6">
        <v>46183.0</v>
      </c>
      <c r="D42" s="5">
        <v>1.0</v>
      </c>
      <c r="E42" s="5">
        <v>0.0</v>
      </c>
    </row>
    <row r="43" ht="15.75" customHeight="1">
      <c r="A43" s="5" t="s">
        <v>53</v>
      </c>
      <c r="B43" s="6">
        <v>46090.0</v>
      </c>
      <c r="C43" s="6">
        <v>46090.0</v>
      </c>
      <c r="D43" s="5">
        <v>1.0</v>
      </c>
      <c r="E43" s="5">
        <v>0.0</v>
      </c>
    </row>
    <row r="44" ht="15.75" customHeight="1">
      <c r="A44" s="5" t="s">
        <v>54</v>
      </c>
      <c r="B44" s="6">
        <v>46156.0</v>
      </c>
      <c r="C44" s="6">
        <v>46156.0</v>
      </c>
      <c r="D44" s="5">
        <v>1.0</v>
      </c>
      <c r="E44" s="5">
        <v>0.0</v>
      </c>
    </row>
    <row r="45" ht="15.75" customHeight="1">
      <c r="A45" s="5" t="s">
        <v>55</v>
      </c>
      <c r="B45" s="6">
        <v>46121.0</v>
      </c>
      <c r="C45" s="6">
        <v>46121.0</v>
      </c>
      <c r="D45" s="5">
        <v>1.0</v>
      </c>
      <c r="E45" s="5">
        <v>0.0</v>
      </c>
    </row>
    <row r="46" ht="15.75" customHeight="1">
      <c r="A46" s="5" t="s">
        <v>56</v>
      </c>
      <c r="B46" s="6">
        <v>46155.0</v>
      </c>
      <c r="C46" s="6">
        <v>46155.0</v>
      </c>
      <c r="D46" s="5">
        <v>1.0</v>
      </c>
      <c r="E46" s="5">
        <v>0.0</v>
      </c>
    </row>
    <row r="47" ht="15.75" customHeight="1">
      <c r="A47" s="5" t="s">
        <v>57</v>
      </c>
      <c r="B47" s="6">
        <v>46085.0</v>
      </c>
      <c r="C47" s="6">
        <v>46085.0</v>
      </c>
      <c r="D47" s="5">
        <v>1.0</v>
      </c>
      <c r="E47" s="5">
        <v>0.0</v>
      </c>
    </row>
    <row r="48" ht="15.75" customHeight="1">
      <c r="A48" s="5" t="s">
        <v>58</v>
      </c>
      <c r="B48" s="6">
        <v>46160.0</v>
      </c>
      <c r="C48" s="6">
        <v>46160.0</v>
      </c>
      <c r="D48" s="5">
        <v>1.0</v>
      </c>
      <c r="E48" s="5">
        <v>0.0</v>
      </c>
    </row>
    <row r="49" ht="15.75" customHeight="1">
      <c r="A49" s="5" t="s">
        <v>59</v>
      </c>
      <c r="B49" s="6">
        <v>46141.0</v>
      </c>
      <c r="C49" s="6">
        <v>46141.0</v>
      </c>
      <c r="D49" s="5">
        <v>1.0</v>
      </c>
      <c r="E49" s="5">
        <v>0.0</v>
      </c>
    </row>
    <row r="50" ht="15.75" customHeight="1">
      <c r="A50" s="5" t="s">
        <v>60</v>
      </c>
      <c r="B50" s="6">
        <v>46085.0</v>
      </c>
      <c r="C50" s="6">
        <v>46085.0</v>
      </c>
      <c r="D50" s="5">
        <v>1.0</v>
      </c>
      <c r="E50" s="5">
        <v>0.0</v>
      </c>
    </row>
    <row r="51" ht="15.75" customHeight="1">
      <c r="A51" s="5" t="s">
        <v>61</v>
      </c>
      <c r="B51" s="6">
        <v>46140.0</v>
      </c>
      <c r="C51" s="6">
        <v>46140.0</v>
      </c>
      <c r="D51" s="5">
        <v>1.0</v>
      </c>
      <c r="E51" s="5">
        <v>0.0</v>
      </c>
    </row>
    <row r="52" ht="15.75" customHeight="1">
      <c r="A52" s="5" t="s">
        <v>62</v>
      </c>
      <c r="B52" s="6">
        <v>46086.0</v>
      </c>
      <c r="C52" s="6">
        <v>46086.0</v>
      </c>
      <c r="D52" s="5">
        <v>1.0</v>
      </c>
      <c r="E52" s="5">
        <v>0.0</v>
      </c>
    </row>
    <row r="53" ht="15.75" customHeight="1">
      <c r="A53" s="5" t="s">
        <v>63</v>
      </c>
      <c r="B53" s="6">
        <v>46126.0</v>
      </c>
      <c r="C53" s="6">
        <v>46126.0</v>
      </c>
      <c r="D53" s="5">
        <v>1.0</v>
      </c>
      <c r="E53" s="5">
        <v>0.0</v>
      </c>
    </row>
    <row r="54" ht="15.75" customHeight="1">
      <c r="A54" s="5" t="s">
        <v>64</v>
      </c>
      <c r="B54" s="6">
        <v>46183.0</v>
      </c>
      <c r="C54" s="6">
        <v>46183.0</v>
      </c>
      <c r="D54" s="5">
        <v>1.0</v>
      </c>
      <c r="E54" s="5">
        <v>0.0</v>
      </c>
    </row>
    <row r="55" ht="15.75" customHeight="1">
      <c r="A55" s="5" t="s">
        <v>65</v>
      </c>
      <c r="B55" s="6">
        <v>46165.0</v>
      </c>
      <c r="C55" s="6">
        <v>46165.0</v>
      </c>
      <c r="D55" s="5">
        <v>1.0</v>
      </c>
      <c r="E55" s="5">
        <v>0.0</v>
      </c>
    </row>
    <row r="56" ht="15.75" customHeight="1">
      <c r="A56" s="5" t="s">
        <v>66</v>
      </c>
      <c r="B56" s="6">
        <v>46086.0</v>
      </c>
      <c r="C56" s="6">
        <v>46095.0</v>
      </c>
      <c r="D56" s="5">
        <v>3.0</v>
      </c>
      <c r="E56" s="5">
        <v>9.0</v>
      </c>
      <c r="F56" s="5">
        <v>4.5</v>
      </c>
    </row>
    <row r="57" ht="15.75" customHeight="1">
      <c r="A57" s="5" t="s">
        <v>67</v>
      </c>
      <c r="B57" s="6">
        <v>46171.0</v>
      </c>
      <c r="C57" s="6">
        <v>46171.0</v>
      </c>
      <c r="D57" s="5">
        <v>1.0</v>
      </c>
      <c r="E57" s="5">
        <v>0.0</v>
      </c>
    </row>
    <row r="58" ht="15.75" customHeight="1">
      <c r="A58" s="5" t="s">
        <v>68</v>
      </c>
      <c r="B58" s="6">
        <v>46184.0</v>
      </c>
      <c r="C58" s="6">
        <v>46184.0</v>
      </c>
      <c r="D58" s="5">
        <v>1.0</v>
      </c>
      <c r="E58" s="5">
        <v>0.0</v>
      </c>
    </row>
    <row r="59" ht="15.75" customHeight="1">
      <c r="A59" s="5" t="s">
        <v>69</v>
      </c>
      <c r="B59" s="6">
        <v>46128.0</v>
      </c>
      <c r="C59" s="6">
        <v>46128.0</v>
      </c>
      <c r="D59" s="5">
        <v>1.0</v>
      </c>
      <c r="E59" s="5">
        <v>0.0</v>
      </c>
    </row>
    <row r="60" ht="15.75" customHeight="1">
      <c r="A60" s="5" t="s">
        <v>70</v>
      </c>
      <c r="B60" s="6">
        <v>46184.0</v>
      </c>
      <c r="C60" s="6">
        <v>46184.0</v>
      </c>
      <c r="D60" s="5">
        <v>1.0</v>
      </c>
      <c r="E60" s="5">
        <v>0.0</v>
      </c>
    </row>
    <row r="61" ht="15.75" customHeight="1">
      <c r="A61" s="5" t="s">
        <v>71</v>
      </c>
      <c r="B61" s="6">
        <v>46184.0</v>
      </c>
      <c r="C61" s="6">
        <v>46184.0</v>
      </c>
      <c r="D61" s="5">
        <v>1.0</v>
      </c>
      <c r="E61" s="5">
        <v>0.0</v>
      </c>
    </row>
    <row r="62" ht="15.75" customHeight="1">
      <c r="A62" s="5" t="s">
        <v>72</v>
      </c>
      <c r="B62" s="6">
        <v>46140.0</v>
      </c>
      <c r="C62" s="6">
        <v>46140.0</v>
      </c>
      <c r="D62" s="5">
        <v>1.0</v>
      </c>
      <c r="E62" s="5">
        <v>0.0</v>
      </c>
    </row>
    <row r="63" ht="15.75" customHeight="1">
      <c r="A63" s="5" t="s">
        <v>73</v>
      </c>
      <c r="B63" s="6">
        <v>46144.0</v>
      </c>
      <c r="C63" s="6">
        <v>46183.0</v>
      </c>
      <c r="D63" s="5">
        <v>2.0</v>
      </c>
      <c r="E63" s="5">
        <v>39.0</v>
      </c>
      <c r="F63" s="5">
        <v>39.0</v>
      </c>
    </row>
    <row r="64" ht="15.75" customHeight="1">
      <c r="A64" s="5" t="s">
        <v>74</v>
      </c>
      <c r="B64" s="6">
        <v>46140.0</v>
      </c>
      <c r="C64" s="6">
        <v>46183.0</v>
      </c>
      <c r="D64" s="5">
        <v>12.0</v>
      </c>
      <c r="E64" s="5">
        <v>43.0</v>
      </c>
      <c r="F64" s="5">
        <v>3.91</v>
      </c>
    </row>
    <row r="65" ht="15.75" customHeight="1">
      <c r="A65" s="5" t="s">
        <v>75</v>
      </c>
      <c r="B65" s="6">
        <v>46140.0</v>
      </c>
      <c r="C65" s="6">
        <v>46140.0</v>
      </c>
      <c r="D65" s="5">
        <v>1.0</v>
      </c>
      <c r="E65" s="5">
        <v>0.0</v>
      </c>
    </row>
    <row r="66" ht="15.75" customHeight="1">
      <c r="A66" s="5" t="s">
        <v>76</v>
      </c>
      <c r="B66" s="6">
        <v>46153.0</v>
      </c>
      <c r="C66" s="6">
        <v>46164.0</v>
      </c>
      <c r="D66" s="5">
        <v>3.0</v>
      </c>
      <c r="E66" s="5">
        <v>11.0</v>
      </c>
      <c r="F66" s="5">
        <v>5.5</v>
      </c>
    </row>
    <row r="67" ht="15.75" customHeight="1">
      <c r="A67" s="5" t="s">
        <v>77</v>
      </c>
      <c r="B67" s="6">
        <v>46140.0</v>
      </c>
      <c r="C67" s="6">
        <v>46140.0</v>
      </c>
      <c r="D67" s="5">
        <v>1.0</v>
      </c>
      <c r="E67" s="5">
        <v>0.0</v>
      </c>
    </row>
    <row r="68" ht="15.75" customHeight="1">
      <c r="A68" s="5" t="s">
        <v>78</v>
      </c>
      <c r="B68" s="6">
        <v>46158.0</v>
      </c>
      <c r="C68" s="6">
        <v>46176.0</v>
      </c>
      <c r="D68" s="5">
        <v>2.0</v>
      </c>
      <c r="E68" s="5">
        <v>18.0</v>
      </c>
      <c r="F68" s="5">
        <v>18.0</v>
      </c>
    </row>
    <row r="69" ht="15.75" customHeight="1">
      <c r="A69" s="5" t="s">
        <v>79</v>
      </c>
      <c r="B69" s="6">
        <v>46176.0</v>
      </c>
      <c r="C69" s="6">
        <v>46176.0</v>
      </c>
      <c r="D69" s="5">
        <v>1.0</v>
      </c>
      <c r="E69" s="5">
        <v>0.0</v>
      </c>
    </row>
    <row r="70" ht="15.75" customHeight="1">
      <c r="A70" s="5" t="s">
        <v>80</v>
      </c>
      <c r="B70" s="6">
        <v>46160.0</v>
      </c>
      <c r="C70" s="6">
        <v>46160.0</v>
      </c>
      <c r="D70" s="5">
        <v>1.0</v>
      </c>
      <c r="E70" s="5">
        <v>0.0</v>
      </c>
    </row>
    <row r="71" ht="15.75" customHeight="1">
      <c r="A71" s="5" t="s">
        <v>81</v>
      </c>
      <c r="B71" s="6">
        <v>46159.0</v>
      </c>
      <c r="C71" s="6">
        <v>46165.0</v>
      </c>
      <c r="D71" s="5">
        <v>2.0</v>
      </c>
      <c r="E71" s="5">
        <v>6.0</v>
      </c>
      <c r="F71" s="5">
        <v>6.0</v>
      </c>
    </row>
    <row r="72" ht="15.75" customHeight="1">
      <c r="A72" s="5" t="s">
        <v>82</v>
      </c>
      <c r="B72" s="6">
        <v>46169.0</v>
      </c>
      <c r="C72" s="6">
        <v>46169.0</v>
      </c>
      <c r="D72" s="5">
        <v>1.0</v>
      </c>
      <c r="E72" s="5">
        <v>0.0</v>
      </c>
    </row>
    <row r="73" ht="15.75" customHeight="1">
      <c r="A73" s="5" t="s">
        <v>83</v>
      </c>
      <c r="B73" s="6">
        <v>46165.0</v>
      </c>
      <c r="C73" s="6">
        <v>46165.0</v>
      </c>
      <c r="D73" s="5">
        <v>1.0</v>
      </c>
      <c r="E73" s="5">
        <v>0.0</v>
      </c>
    </row>
    <row r="74" ht="15.75" customHeight="1">
      <c r="A74" s="5" t="s">
        <v>84</v>
      </c>
      <c r="B74" s="6">
        <v>46081.0</v>
      </c>
      <c r="C74" s="6">
        <v>46081.0</v>
      </c>
      <c r="D74" s="5">
        <v>1.0</v>
      </c>
      <c r="E74" s="5">
        <v>0.0</v>
      </c>
    </row>
    <row r="75" ht="15.75" customHeight="1">
      <c r="A75" s="5" t="s">
        <v>85</v>
      </c>
      <c r="B75" s="6">
        <v>46143.0</v>
      </c>
      <c r="C75" s="6">
        <v>46143.0</v>
      </c>
      <c r="D75" s="5">
        <v>1.0</v>
      </c>
      <c r="E75" s="5">
        <v>0.0</v>
      </c>
    </row>
    <row r="76" ht="15.75" customHeight="1">
      <c r="A76" s="5" t="s">
        <v>86</v>
      </c>
      <c r="B76" s="6">
        <v>46161.0</v>
      </c>
      <c r="C76" s="6">
        <v>46180.0</v>
      </c>
      <c r="D76" s="5">
        <v>3.0</v>
      </c>
      <c r="E76" s="5">
        <v>19.0</v>
      </c>
      <c r="F76" s="5">
        <v>9.5</v>
      </c>
    </row>
    <row r="77" ht="15.75" customHeight="1">
      <c r="A77" s="5" t="s">
        <v>87</v>
      </c>
      <c r="B77" s="6">
        <v>46086.0</v>
      </c>
      <c r="C77" s="6">
        <v>46125.0</v>
      </c>
      <c r="D77" s="5">
        <v>2.0</v>
      </c>
      <c r="E77" s="5">
        <v>39.0</v>
      </c>
      <c r="F77" s="5">
        <v>39.0</v>
      </c>
    </row>
    <row r="78" ht="15.75" customHeight="1">
      <c r="A78" s="5" t="s">
        <v>88</v>
      </c>
      <c r="B78" s="6">
        <v>46088.0</v>
      </c>
      <c r="C78" s="6">
        <v>46094.0</v>
      </c>
      <c r="D78" s="5">
        <v>2.0</v>
      </c>
      <c r="E78" s="5">
        <v>6.0</v>
      </c>
      <c r="F78" s="5">
        <v>6.0</v>
      </c>
    </row>
    <row r="79" ht="15.75" customHeight="1">
      <c r="A79" s="5" t="s">
        <v>89</v>
      </c>
      <c r="B79" s="6">
        <v>46148.0</v>
      </c>
      <c r="C79" s="6">
        <v>46148.0</v>
      </c>
      <c r="D79" s="5">
        <v>1.0</v>
      </c>
      <c r="E79" s="5">
        <v>0.0</v>
      </c>
    </row>
    <row r="80" ht="15.75" customHeight="1">
      <c r="A80" s="5" t="s">
        <v>90</v>
      </c>
      <c r="B80" s="6">
        <v>46184.0</v>
      </c>
      <c r="C80" s="6">
        <v>46184.0</v>
      </c>
      <c r="D80" s="5">
        <v>1.0</v>
      </c>
      <c r="E80" s="5">
        <v>0.0</v>
      </c>
    </row>
    <row r="81" ht="15.75" customHeight="1">
      <c r="A81" s="5" t="s">
        <v>91</v>
      </c>
      <c r="B81" s="6">
        <v>46145.0</v>
      </c>
      <c r="C81" s="6">
        <v>46178.0</v>
      </c>
      <c r="D81" s="5">
        <v>2.0</v>
      </c>
      <c r="E81" s="5">
        <v>33.0</v>
      </c>
      <c r="F81" s="5">
        <v>33.0</v>
      </c>
    </row>
    <row r="82" ht="15.75" customHeight="1">
      <c r="A82" s="5" t="s">
        <v>92</v>
      </c>
      <c r="B82" s="6">
        <v>46086.0</v>
      </c>
      <c r="C82" s="6">
        <v>46086.0</v>
      </c>
      <c r="D82" s="5">
        <v>1.0</v>
      </c>
      <c r="E82" s="5">
        <v>0.0</v>
      </c>
    </row>
    <row r="83" ht="15.75" customHeight="1">
      <c r="A83" s="5" t="s">
        <v>93</v>
      </c>
      <c r="B83" s="6">
        <v>46126.0</v>
      </c>
      <c r="C83" s="6">
        <v>46126.0</v>
      </c>
      <c r="D83" s="5">
        <v>1.0</v>
      </c>
      <c r="E83" s="5">
        <v>0.0</v>
      </c>
    </row>
    <row r="84" ht="15.75" customHeight="1">
      <c r="A84" s="5" t="s">
        <v>94</v>
      </c>
      <c r="B84" s="6">
        <v>46155.0</v>
      </c>
      <c r="C84" s="6">
        <v>46155.0</v>
      </c>
      <c r="D84" s="5">
        <v>1.0</v>
      </c>
      <c r="E84" s="5">
        <v>0.0</v>
      </c>
    </row>
    <row r="85" ht="15.75" customHeight="1">
      <c r="A85" s="5" t="s">
        <v>95</v>
      </c>
      <c r="B85" s="6">
        <v>46087.0</v>
      </c>
      <c r="C85" s="6">
        <v>46087.0</v>
      </c>
      <c r="D85" s="5">
        <v>1.0</v>
      </c>
      <c r="E85" s="5">
        <v>0.0</v>
      </c>
    </row>
    <row r="86" ht="15.75" customHeight="1">
      <c r="A86" s="5" t="s">
        <v>96</v>
      </c>
      <c r="B86" s="6">
        <v>46091.0</v>
      </c>
      <c r="C86" s="6">
        <v>46091.0</v>
      </c>
      <c r="D86" s="5">
        <v>1.0</v>
      </c>
      <c r="E86" s="5">
        <v>0.0</v>
      </c>
    </row>
    <row r="87" ht="15.75" customHeight="1">
      <c r="A87" s="5" t="s">
        <v>97</v>
      </c>
      <c r="B87" s="6">
        <v>46140.0</v>
      </c>
      <c r="C87" s="6">
        <v>46144.0</v>
      </c>
      <c r="D87" s="5">
        <v>2.0</v>
      </c>
      <c r="E87" s="5">
        <v>4.0</v>
      </c>
      <c r="F87" s="5">
        <v>4.0</v>
      </c>
    </row>
    <row r="88" ht="15.75" customHeight="1">
      <c r="A88" s="5" t="s">
        <v>98</v>
      </c>
      <c r="B88" s="6">
        <v>46091.0</v>
      </c>
      <c r="C88" s="6">
        <v>46180.0</v>
      </c>
      <c r="D88" s="5">
        <v>3.0</v>
      </c>
      <c r="E88" s="5">
        <v>89.0</v>
      </c>
      <c r="F88" s="5">
        <v>44.5</v>
      </c>
    </row>
    <row r="89" ht="15.75" customHeight="1">
      <c r="A89" s="5" t="s">
        <v>99</v>
      </c>
      <c r="B89" s="6">
        <v>46152.0</v>
      </c>
      <c r="C89" s="6">
        <v>46166.0</v>
      </c>
      <c r="D89" s="5">
        <v>3.0</v>
      </c>
      <c r="E89" s="5">
        <v>14.0</v>
      </c>
      <c r="F89" s="5">
        <v>7.0</v>
      </c>
    </row>
    <row r="90" ht="15.75" customHeight="1">
      <c r="A90" s="5" t="s">
        <v>100</v>
      </c>
      <c r="B90" s="6">
        <v>46116.0</v>
      </c>
      <c r="C90" s="6">
        <v>46116.0</v>
      </c>
      <c r="D90" s="5">
        <v>1.0</v>
      </c>
      <c r="E90" s="5">
        <v>0.0</v>
      </c>
    </row>
    <row r="91" ht="15.75" customHeight="1">
      <c r="A91" s="5" t="s">
        <v>101</v>
      </c>
      <c r="B91" s="6">
        <v>46131.0</v>
      </c>
      <c r="C91" s="6">
        <v>46131.0</v>
      </c>
      <c r="D91" s="5">
        <v>1.0</v>
      </c>
      <c r="E91" s="5">
        <v>0.0</v>
      </c>
    </row>
    <row r="92" ht="15.75" customHeight="1">
      <c r="A92" s="5" t="s">
        <v>102</v>
      </c>
      <c r="B92" s="6">
        <v>46100.0</v>
      </c>
      <c r="C92" s="6">
        <v>46100.0</v>
      </c>
      <c r="D92" s="5">
        <v>1.0</v>
      </c>
      <c r="E92" s="5">
        <v>0.0</v>
      </c>
    </row>
    <row r="93" ht="15.75" customHeight="1">
      <c r="A93" s="5" t="s">
        <v>103</v>
      </c>
      <c r="B93" s="6">
        <v>46178.0</v>
      </c>
      <c r="C93" s="6">
        <v>46178.0</v>
      </c>
      <c r="D93" s="5">
        <v>1.0</v>
      </c>
      <c r="E93" s="5">
        <v>0.0</v>
      </c>
    </row>
    <row r="94" ht="15.75" customHeight="1">
      <c r="A94" s="5" t="s">
        <v>104</v>
      </c>
      <c r="B94" s="6">
        <v>46160.0</v>
      </c>
      <c r="C94" s="6">
        <v>46160.0</v>
      </c>
      <c r="D94" s="5">
        <v>1.0</v>
      </c>
      <c r="E94" s="5">
        <v>0.0</v>
      </c>
    </row>
    <row r="95" ht="15.75" customHeight="1">
      <c r="A95" s="5" t="s">
        <v>105</v>
      </c>
      <c r="B95" s="6">
        <v>46159.0</v>
      </c>
      <c r="C95" s="6">
        <v>46159.0</v>
      </c>
      <c r="D95" s="5">
        <v>1.0</v>
      </c>
      <c r="E95" s="5">
        <v>0.0</v>
      </c>
    </row>
    <row r="96" ht="15.75" customHeight="1">
      <c r="A96" s="5" t="s">
        <v>106</v>
      </c>
      <c r="B96" s="6">
        <v>46154.0</v>
      </c>
      <c r="C96" s="6">
        <v>46154.0</v>
      </c>
      <c r="D96" s="5">
        <v>1.0</v>
      </c>
      <c r="E96" s="5">
        <v>0.0</v>
      </c>
    </row>
    <row r="97" ht="15.75" customHeight="1">
      <c r="A97" s="5" t="s">
        <v>107</v>
      </c>
      <c r="B97" s="6">
        <v>46182.0</v>
      </c>
      <c r="C97" s="6">
        <v>46182.0</v>
      </c>
      <c r="D97" s="5">
        <v>1.0</v>
      </c>
      <c r="E97" s="5">
        <v>0.0</v>
      </c>
    </row>
    <row r="98" ht="15.75" customHeight="1">
      <c r="A98" s="5" t="s">
        <v>108</v>
      </c>
      <c r="B98" s="6">
        <v>46085.0</v>
      </c>
      <c r="C98" s="6">
        <v>46085.0</v>
      </c>
      <c r="D98" s="5">
        <v>1.0</v>
      </c>
      <c r="E98" s="5">
        <v>0.0</v>
      </c>
    </row>
    <row r="99" ht="15.75" customHeight="1">
      <c r="A99" s="5" t="s">
        <v>109</v>
      </c>
      <c r="B99" s="6">
        <v>46126.0</v>
      </c>
      <c r="C99" s="6">
        <v>46167.0</v>
      </c>
      <c r="D99" s="5">
        <v>2.0</v>
      </c>
      <c r="E99" s="5">
        <v>41.0</v>
      </c>
      <c r="F99" s="5">
        <v>41.0</v>
      </c>
    </row>
    <row r="100" ht="15.75" customHeight="1">
      <c r="A100" s="5" t="s">
        <v>110</v>
      </c>
      <c r="B100" s="6">
        <v>46183.0</v>
      </c>
      <c r="C100" s="6">
        <v>46183.0</v>
      </c>
      <c r="D100" s="5">
        <v>1.0</v>
      </c>
      <c r="E100" s="5">
        <v>0.0</v>
      </c>
    </row>
    <row r="101" ht="15.75" customHeight="1">
      <c r="A101" s="5" t="s">
        <v>111</v>
      </c>
      <c r="B101" s="6">
        <v>46137.0</v>
      </c>
      <c r="C101" s="6">
        <v>46182.0</v>
      </c>
      <c r="D101" s="5">
        <v>4.0</v>
      </c>
      <c r="E101" s="5">
        <v>45.0</v>
      </c>
      <c r="F101" s="5">
        <v>15.0</v>
      </c>
    </row>
    <row r="102" ht="15.75" customHeight="1">
      <c r="A102" s="5" t="s">
        <v>112</v>
      </c>
      <c r="B102" s="6">
        <v>46140.0</v>
      </c>
      <c r="C102" s="6">
        <v>46140.0</v>
      </c>
      <c r="D102" s="5">
        <v>1.0</v>
      </c>
      <c r="E102" s="5">
        <v>0.0</v>
      </c>
    </row>
    <row r="103" ht="15.75" customHeight="1">
      <c r="A103" s="5" t="s">
        <v>113</v>
      </c>
      <c r="B103" s="6">
        <v>46181.0</v>
      </c>
      <c r="C103" s="6">
        <v>46181.0</v>
      </c>
      <c r="D103" s="5">
        <v>1.0</v>
      </c>
      <c r="E103" s="5">
        <v>0.0</v>
      </c>
    </row>
    <row r="104" ht="15.75" customHeight="1">
      <c r="A104" s="5" t="s">
        <v>114</v>
      </c>
      <c r="B104" s="6">
        <v>46160.0</v>
      </c>
      <c r="C104" s="6">
        <v>46160.0</v>
      </c>
      <c r="D104" s="5">
        <v>1.0</v>
      </c>
      <c r="E104" s="5">
        <v>0.0</v>
      </c>
    </row>
    <row r="105" ht="15.75" customHeight="1">
      <c r="A105" s="5" t="s">
        <v>115</v>
      </c>
      <c r="B105" s="6">
        <v>46097.0</v>
      </c>
      <c r="C105" s="6">
        <v>46097.0</v>
      </c>
      <c r="D105" s="5">
        <v>1.0</v>
      </c>
      <c r="E105" s="5">
        <v>0.0</v>
      </c>
    </row>
    <row r="106" ht="15.75" customHeight="1">
      <c r="A106" s="5" t="s">
        <v>116</v>
      </c>
      <c r="B106" s="6">
        <v>46162.0</v>
      </c>
      <c r="C106" s="6">
        <v>46162.0</v>
      </c>
      <c r="D106" s="5">
        <v>1.0</v>
      </c>
      <c r="E106" s="5">
        <v>0.0</v>
      </c>
    </row>
    <row r="107" ht="15.75" customHeight="1">
      <c r="A107" s="5" t="s">
        <v>117</v>
      </c>
      <c r="B107" s="6">
        <v>46132.0</v>
      </c>
      <c r="C107" s="6">
        <v>46132.0</v>
      </c>
      <c r="D107" s="5">
        <v>1.0</v>
      </c>
      <c r="E107" s="5">
        <v>0.0</v>
      </c>
    </row>
    <row r="108" ht="15.75" customHeight="1">
      <c r="A108" s="5" t="s">
        <v>118</v>
      </c>
      <c r="B108" s="6">
        <v>46088.0</v>
      </c>
      <c r="C108" s="6">
        <v>46088.0</v>
      </c>
      <c r="D108" s="5">
        <v>1.0</v>
      </c>
      <c r="E108" s="5">
        <v>0.0</v>
      </c>
    </row>
    <row r="109" ht="15.75" customHeight="1">
      <c r="A109" s="5" t="s">
        <v>119</v>
      </c>
      <c r="B109" s="6">
        <v>46159.0</v>
      </c>
      <c r="C109" s="6">
        <v>46159.0</v>
      </c>
      <c r="D109" s="5">
        <v>1.0</v>
      </c>
      <c r="E109" s="5">
        <v>0.0</v>
      </c>
    </row>
    <row r="110" ht="15.75" customHeight="1">
      <c r="A110" s="5" t="s">
        <v>120</v>
      </c>
      <c r="B110" s="6">
        <v>46090.0</v>
      </c>
      <c r="C110" s="6">
        <v>46090.0</v>
      </c>
      <c r="D110" s="5">
        <v>1.0</v>
      </c>
      <c r="E110" s="5">
        <v>0.0</v>
      </c>
    </row>
    <row r="111" ht="15.75" customHeight="1">
      <c r="A111" s="5" t="s">
        <v>121</v>
      </c>
      <c r="B111" s="6">
        <v>46096.0</v>
      </c>
      <c r="C111" s="6">
        <v>46096.0</v>
      </c>
      <c r="D111" s="5">
        <v>1.0</v>
      </c>
      <c r="E111" s="5">
        <v>0.0</v>
      </c>
    </row>
    <row r="112" ht="15.75" customHeight="1">
      <c r="A112" s="5" t="s">
        <v>122</v>
      </c>
      <c r="B112" s="6">
        <v>46161.0</v>
      </c>
      <c r="C112" s="6">
        <v>46161.0</v>
      </c>
      <c r="D112" s="5">
        <v>1.0</v>
      </c>
      <c r="E112" s="5">
        <v>0.0</v>
      </c>
    </row>
    <row r="113" ht="15.75" customHeight="1">
      <c r="A113" s="5" t="s">
        <v>123</v>
      </c>
      <c r="B113" s="6">
        <v>46145.0</v>
      </c>
      <c r="C113" s="6">
        <v>46184.0</v>
      </c>
      <c r="D113" s="5">
        <v>4.0</v>
      </c>
      <c r="E113" s="5">
        <v>39.0</v>
      </c>
      <c r="F113" s="5">
        <v>13.0</v>
      </c>
    </row>
    <row r="114" ht="15.75" customHeight="1">
      <c r="A114" s="5" t="s">
        <v>124</v>
      </c>
      <c r="B114" s="6">
        <v>46182.0</v>
      </c>
      <c r="C114" s="6">
        <v>46182.0</v>
      </c>
      <c r="D114" s="5">
        <v>1.0</v>
      </c>
      <c r="E114" s="5">
        <v>0.0</v>
      </c>
    </row>
    <row r="115" ht="15.75" customHeight="1">
      <c r="A115" s="5" t="s">
        <v>125</v>
      </c>
      <c r="B115" s="6">
        <v>46179.0</v>
      </c>
      <c r="C115" s="6">
        <v>46179.0</v>
      </c>
      <c r="D115" s="5">
        <v>1.0</v>
      </c>
      <c r="E115" s="5">
        <v>0.0</v>
      </c>
    </row>
    <row r="116" ht="15.75" customHeight="1">
      <c r="A116" s="5" t="s">
        <v>126</v>
      </c>
      <c r="B116" s="6">
        <v>46082.0</v>
      </c>
      <c r="C116" s="6">
        <v>46082.0</v>
      </c>
      <c r="D116" s="5">
        <v>1.0</v>
      </c>
      <c r="E116" s="5">
        <v>0.0</v>
      </c>
    </row>
    <row r="117" ht="15.75" customHeight="1">
      <c r="A117" s="5" t="s">
        <v>127</v>
      </c>
      <c r="B117" s="6">
        <v>46173.0</v>
      </c>
      <c r="C117" s="6">
        <v>46173.0</v>
      </c>
      <c r="D117" s="5">
        <v>1.0</v>
      </c>
      <c r="E117" s="5">
        <v>0.0</v>
      </c>
    </row>
    <row r="118" ht="15.75" customHeight="1">
      <c r="A118" s="5" t="s">
        <v>128</v>
      </c>
      <c r="B118" s="6">
        <v>46183.0</v>
      </c>
      <c r="C118" s="6">
        <v>46183.0</v>
      </c>
      <c r="D118" s="5">
        <v>1.0</v>
      </c>
      <c r="E118" s="5">
        <v>0.0</v>
      </c>
    </row>
    <row r="119" ht="15.75" customHeight="1">
      <c r="A119" s="5" t="s">
        <v>129</v>
      </c>
      <c r="B119" s="6">
        <v>46160.0</v>
      </c>
      <c r="C119" s="6">
        <v>46160.0</v>
      </c>
      <c r="D119" s="5">
        <v>1.0</v>
      </c>
      <c r="E119" s="5">
        <v>0.0</v>
      </c>
    </row>
    <row r="120" ht="15.75" customHeight="1">
      <c r="A120" s="5" t="s">
        <v>130</v>
      </c>
      <c r="B120" s="6">
        <v>46143.0</v>
      </c>
      <c r="C120" s="6">
        <v>46143.0</v>
      </c>
      <c r="D120" s="5">
        <v>1.0</v>
      </c>
      <c r="E120" s="5">
        <v>0.0</v>
      </c>
    </row>
    <row r="121" ht="15.75" customHeight="1">
      <c r="A121" s="5" t="s">
        <v>131</v>
      </c>
      <c r="B121" s="6">
        <v>46150.0</v>
      </c>
      <c r="C121" s="6">
        <v>46150.0</v>
      </c>
      <c r="D121" s="5">
        <v>1.0</v>
      </c>
      <c r="E121" s="5">
        <v>0.0</v>
      </c>
    </row>
    <row r="122" ht="15.75" customHeight="1">
      <c r="A122" s="5" t="s">
        <v>132</v>
      </c>
      <c r="B122" s="6">
        <v>46145.0</v>
      </c>
      <c r="C122" s="6">
        <v>46145.0</v>
      </c>
      <c r="D122" s="5">
        <v>1.0</v>
      </c>
      <c r="E122" s="5">
        <v>0.0</v>
      </c>
    </row>
    <row r="123" ht="15.75" customHeight="1">
      <c r="A123" s="5" t="s">
        <v>133</v>
      </c>
      <c r="B123" s="6">
        <v>46082.0</v>
      </c>
      <c r="C123" s="6">
        <v>46172.0</v>
      </c>
      <c r="D123" s="5">
        <v>7.0</v>
      </c>
      <c r="E123" s="5">
        <v>90.0</v>
      </c>
      <c r="F123" s="5">
        <v>15.0</v>
      </c>
    </row>
    <row r="124" ht="15.75" customHeight="1">
      <c r="A124" s="5" t="s">
        <v>134</v>
      </c>
      <c r="B124" s="6">
        <v>46156.0</v>
      </c>
      <c r="C124" s="6">
        <v>46156.0</v>
      </c>
      <c r="D124" s="5">
        <v>1.0</v>
      </c>
      <c r="E124" s="5">
        <v>0.0</v>
      </c>
    </row>
    <row r="125" ht="15.75" customHeight="1">
      <c r="A125" s="5" t="s">
        <v>135</v>
      </c>
      <c r="B125" s="6">
        <v>46146.0</v>
      </c>
      <c r="C125" s="6">
        <v>46146.0</v>
      </c>
      <c r="D125" s="5">
        <v>1.0</v>
      </c>
      <c r="E125" s="5">
        <v>0.0</v>
      </c>
    </row>
    <row r="126" ht="15.75" customHeight="1">
      <c r="A126" s="5" t="s">
        <v>136</v>
      </c>
      <c r="B126" s="6">
        <v>46141.0</v>
      </c>
      <c r="C126" s="6">
        <v>46159.0</v>
      </c>
      <c r="D126" s="5">
        <v>2.0</v>
      </c>
      <c r="E126" s="5">
        <v>18.0</v>
      </c>
      <c r="F126" s="5">
        <v>18.0</v>
      </c>
    </row>
    <row r="127" ht="15.75" customHeight="1">
      <c r="A127" s="5" t="s">
        <v>137</v>
      </c>
      <c r="B127" s="6">
        <v>46184.0</v>
      </c>
      <c r="C127" s="6">
        <v>46184.0</v>
      </c>
      <c r="D127" s="5">
        <v>1.0</v>
      </c>
      <c r="E127" s="5">
        <v>0.0</v>
      </c>
    </row>
    <row r="128" ht="15.75" customHeight="1">
      <c r="A128" s="5" t="s">
        <v>138</v>
      </c>
      <c r="B128" s="6">
        <v>46115.0</v>
      </c>
      <c r="C128" s="6">
        <v>46115.0</v>
      </c>
      <c r="D128" s="5">
        <v>1.0</v>
      </c>
      <c r="E128" s="5">
        <v>0.0</v>
      </c>
    </row>
    <row r="129" ht="15.75" customHeight="1">
      <c r="A129" s="5" t="s">
        <v>139</v>
      </c>
      <c r="B129" s="6">
        <v>46082.0</v>
      </c>
      <c r="C129" s="6">
        <v>46082.0</v>
      </c>
      <c r="D129" s="5">
        <v>1.0</v>
      </c>
      <c r="E129" s="5">
        <v>0.0</v>
      </c>
    </row>
    <row r="130" ht="15.75" customHeight="1">
      <c r="A130" s="5" t="s">
        <v>140</v>
      </c>
      <c r="B130" s="6">
        <v>46176.0</v>
      </c>
      <c r="C130" s="6">
        <v>46176.0</v>
      </c>
      <c r="D130" s="5">
        <v>1.0</v>
      </c>
      <c r="E130" s="5">
        <v>0.0</v>
      </c>
    </row>
    <row r="131" ht="15.75" customHeight="1">
      <c r="A131" s="5" t="s">
        <v>141</v>
      </c>
      <c r="B131" s="6">
        <v>46150.0</v>
      </c>
      <c r="C131" s="6">
        <v>46150.0</v>
      </c>
      <c r="D131" s="5">
        <v>1.0</v>
      </c>
      <c r="E131" s="5">
        <v>0.0</v>
      </c>
    </row>
    <row r="132" ht="15.75" customHeight="1">
      <c r="A132" s="5" t="s">
        <v>142</v>
      </c>
      <c r="B132" s="6">
        <v>46166.0</v>
      </c>
      <c r="C132" s="6">
        <v>46178.0</v>
      </c>
      <c r="D132" s="5">
        <v>2.0</v>
      </c>
      <c r="E132" s="5">
        <v>12.0</v>
      </c>
      <c r="F132" s="5">
        <v>12.0</v>
      </c>
    </row>
    <row r="133" ht="15.75" customHeight="1">
      <c r="A133" s="5" t="s">
        <v>143</v>
      </c>
      <c r="B133" s="6">
        <v>46141.0</v>
      </c>
      <c r="C133" s="6">
        <v>46141.0</v>
      </c>
      <c r="D133" s="5">
        <v>1.0</v>
      </c>
      <c r="E133" s="5">
        <v>0.0</v>
      </c>
    </row>
    <row r="134" ht="15.75" customHeight="1">
      <c r="A134" s="5" t="s">
        <v>144</v>
      </c>
      <c r="B134" s="6">
        <v>46085.0</v>
      </c>
      <c r="C134" s="6">
        <v>46085.0</v>
      </c>
      <c r="D134" s="5">
        <v>1.0</v>
      </c>
      <c r="E134" s="5">
        <v>0.0</v>
      </c>
    </row>
    <row r="135" ht="15.75" customHeight="1">
      <c r="A135" s="5" t="s">
        <v>145</v>
      </c>
      <c r="B135" s="6">
        <v>46090.0</v>
      </c>
      <c r="C135" s="6">
        <v>46090.0</v>
      </c>
      <c r="D135" s="5">
        <v>1.0</v>
      </c>
      <c r="E135" s="5">
        <v>0.0</v>
      </c>
    </row>
    <row r="136" ht="15.75" customHeight="1">
      <c r="A136" s="5" t="s">
        <v>146</v>
      </c>
      <c r="B136" s="6">
        <v>46086.0</v>
      </c>
      <c r="C136" s="6">
        <v>46086.0</v>
      </c>
      <c r="D136" s="5">
        <v>1.0</v>
      </c>
      <c r="E136" s="5">
        <v>0.0</v>
      </c>
    </row>
    <row r="137" ht="15.75" customHeight="1">
      <c r="A137" s="5" t="s">
        <v>147</v>
      </c>
      <c r="B137" s="6">
        <v>46082.0</v>
      </c>
      <c r="C137" s="6">
        <v>46100.0</v>
      </c>
      <c r="D137" s="5">
        <v>5.0</v>
      </c>
      <c r="E137" s="5">
        <v>18.0</v>
      </c>
      <c r="F137" s="5">
        <v>4.5</v>
      </c>
    </row>
    <row r="138" ht="15.75" customHeight="1">
      <c r="A138" s="5" t="s">
        <v>148</v>
      </c>
      <c r="B138" s="6">
        <v>46085.0</v>
      </c>
      <c r="C138" s="6">
        <v>46085.0</v>
      </c>
      <c r="D138" s="5">
        <v>1.0</v>
      </c>
      <c r="E138" s="5">
        <v>0.0</v>
      </c>
    </row>
    <row r="139" ht="15.75" customHeight="1">
      <c r="A139" s="5" t="s">
        <v>149</v>
      </c>
      <c r="B139" s="6">
        <v>46164.0</v>
      </c>
      <c r="C139" s="6">
        <v>46164.0</v>
      </c>
      <c r="D139" s="5">
        <v>1.0</v>
      </c>
      <c r="E139" s="5">
        <v>0.0</v>
      </c>
    </row>
    <row r="140" ht="15.75" customHeight="1">
      <c r="A140" s="5" t="s">
        <v>150</v>
      </c>
      <c r="B140" s="6">
        <v>46085.0</v>
      </c>
      <c r="C140" s="6">
        <v>46184.0</v>
      </c>
      <c r="D140" s="5">
        <v>2.0</v>
      </c>
      <c r="E140" s="5">
        <v>99.0</v>
      </c>
      <c r="F140" s="5">
        <v>99.0</v>
      </c>
    </row>
    <row r="141" ht="15.75" customHeight="1">
      <c r="A141" s="5" t="s">
        <v>151</v>
      </c>
      <c r="B141" s="6">
        <v>46076.0</v>
      </c>
      <c r="C141" s="6">
        <v>46173.0</v>
      </c>
      <c r="D141" s="5">
        <v>6.0</v>
      </c>
      <c r="E141" s="5">
        <v>97.0</v>
      </c>
      <c r="F141" s="5">
        <v>19.4</v>
      </c>
    </row>
    <row r="142" ht="15.75" customHeight="1">
      <c r="A142" s="5" t="s">
        <v>152</v>
      </c>
      <c r="B142" s="6">
        <v>46185.0</v>
      </c>
      <c r="C142" s="6">
        <v>46185.0</v>
      </c>
      <c r="D142" s="5">
        <v>1.0</v>
      </c>
      <c r="E142" s="5">
        <v>0.0</v>
      </c>
    </row>
    <row r="143" ht="15.75" customHeight="1">
      <c r="A143" s="5" t="s">
        <v>153</v>
      </c>
      <c r="B143" s="6">
        <v>46182.0</v>
      </c>
      <c r="C143" s="6">
        <v>46182.0</v>
      </c>
      <c r="D143" s="5">
        <v>1.0</v>
      </c>
      <c r="E143" s="5">
        <v>0.0</v>
      </c>
    </row>
    <row r="144" ht="15.75" customHeight="1">
      <c r="A144" s="5" t="s">
        <v>154</v>
      </c>
      <c r="B144" s="6">
        <v>46181.0</v>
      </c>
      <c r="C144" s="6">
        <v>46181.0</v>
      </c>
      <c r="D144" s="5">
        <v>1.0</v>
      </c>
      <c r="E144" s="5">
        <v>0.0</v>
      </c>
    </row>
    <row r="145" ht="15.75" customHeight="1">
      <c r="A145" s="5" t="s">
        <v>155</v>
      </c>
      <c r="B145" s="6">
        <v>46119.0</v>
      </c>
      <c r="C145" s="6">
        <v>46139.0</v>
      </c>
      <c r="D145" s="5">
        <v>5.0</v>
      </c>
      <c r="E145" s="5">
        <v>20.0</v>
      </c>
      <c r="F145" s="5">
        <v>5.0</v>
      </c>
    </row>
    <row r="146" ht="15.75" customHeight="1">
      <c r="A146" s="5" t="s">
        <v>156</v>
      </c>
      <c r="B146" s="6">
        <v>46118.0</v>
      </c>
      <c r="C146" s="6">
        <v>46169.0</v>
      </c>
      <c r="D146" s="5">
        <v>2.0</v>
      </c>
      <c r="E146" s="5">
        <v>51.0</v>
      </c>
      <c r="F146" s="5">
        <v>51.0</v>
      </c>
    </row>
    <row r="147" ht="15.75" customHeight="1">
      <c r="A147" s="5" t="s">
        <v>157</v>
      </c>
      <c r="B147" s="6">
        <v>46183.0</v>
      </c>
      <c r="C147" s="6">
        <v>46183.0</v>
      </c>
      <c r="D147" s="5">
        <v>1.0</v>
      </c>
      <c r="E147" s="5">
        <v>0.0</v>
      </c>
    </row>
    <row r="148" ht="15.75" customHeight="1">
      <c r="A148" s="5" t="s">
        <v>158</v>
      </c>
      <c r="B148" s="6">
        <v>46100.0</v>
      </c>
      <c r="C148" s="6">
        <v>46100.0</v>
      </c>
      <c r="D148" s="5">
        <v>1.0</v>
      </c>
      <c r="E148" s="5">
        <v>0.0</v>
      </c>
    </row>
    <row r="149" ht="15.75" customHeight="1">
      <c r="A149" s="5" t="s">
        <v>159</v>
      </c>
      <c r="B149" s="6">
        <v>46173.0</v>
      </c>
      <c r="C149" s="6">
        <v>46173.0</v>
      </c>
      <c r="D149" s="5">
        <v>1.0</v>
      </c>
      <c r="E149" s="5">
        <v>0.0</v>
      </c>
    </row>
    <row r="150" ht="15.75" customHeight="1">
      <c r="A150" s="5" t="s">
        <v>160</v>
      </c>
      <c r="B150" s="6">
        <v>46181.0</v>
      </c>
      <c r="C150" s="6">
        <v>46181.0</v>
      </c>
      <c r="D150" s="5">
        <v>1.0</v>
      </c>
      <c r="E150" s="5">
        <v>0.0</v>
      </c>
    </row>
    <row r="151" ht="15.75" customHeight="1">
      <c r="A151" s="5" t="s">
        <v>161</v>
      </c>
      <c r="B151" s="6">
        <v>46152.0</v>
      </c>
      <c r="C151" s="6">
        <v>46152.0</v>
      </c>
      <c r="D151" s="5">
        <v>1.0</v>
      </c>
      <c r="E151" s="5">
        <v>0.0</v>
      </c>
    </row>
    <row r="152" ht="15.75" customHeight="1">
      <c r="A152" s="5" t="s">
        <v>162</v>
      </c>
      <c r="B152" s="6">
        <v>46140.0</v>
      </c>
      <c r="C152" s="6">
        <v>46140.0</v>
      </c>
      <c r="D152" s="5">
        <v>1.0</v>
      </c>
      <c r="E152" s="5">
        <v>0.0</v>
      </c>
    </row>
    <row r="153" ht="15.75" customHeight="1">
      <c r="A153" s="5" t="s">
        <v>163</v>
      </c>
      <c r="B153" s="6">
        <v>46151.0</v>
      </c>
      <c r="C153" s="6">
        <v>46162.0</v>
      </c>
      <c r="D153" s="5">
        <v>4.0</v>
      </c>
      <c r="E153" s="5">
        <v>11.0</v>
      </c>
      <c r="F153" s="5">
        <v>3.67</v>
      </c>
    </row>
    <row r="154" ht="15.75" customHeight="1">
      <c r="D154" s="9">
        <f>SUM(D2:D153)</f>
        <v>251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2026-06-13T10:01:55Z</dcterms:created>
  <dc:creator>openpyxl</dc:creator>
</cp:coreProperties>
</file>